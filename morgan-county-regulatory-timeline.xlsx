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ulatory Timeline" sheetId="1" state="visible" r:id="rId3"/>
    <sheet name="Evidence &amp; Assumptions" sheetId="2" state="visible" r:id="rId4"/>
  </sheets>
  <definedNames>
    <definedName function="false" hidden="false" localSheetId="1" name="_xlnm.Print_Area" vbProcedure="false">'Evidence &amp; Assumptions'!$A$1:$E$9</definedName>
    <definedName function="false" hidden="false" localSheetId="0" name="_xlnm.Print_Area" vbProcedure="false">'Regulatory Timeline'!$A$1:$F$12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<sst xmlns="http://schemas.openxmlformats.org/spreadsheetml/2006/main" count="54" uniqueCount="48">
  <si>
    <t xml:space="preserve">MORGAN COUNTY MA CO-OP — REGULATORY TIMELINE PROJECT PLAN</t>
  </si>
  <si>
    <t xml:space="preserve">Concept demonstration — generated via the Ledger PM Agent mockup. Not a real regulatory filing.</t>
  </si>
  <si>
    <t xml:space="preserve">Phases complete:</t>
  </si>
  <si>
    <t xml:space="preserve">Total phases:</t>
  </si>
  <si>
    <t xml:space="preserve">% Complete:</t>
  </si>
  <si>
    <t xml:space="preserve">Phase</t>
  </si>
  <si>
    <t xml:space="preserve">Timeframe</t>
  </si>
  <si>
    <t xml:space="preserve">Owner</t>
  </si>
  <si>
    <t xml:space="preserve">Deliverable</t>
  </si>
  <si>
    <t xml:space="preserve">Status</t>
  </si>
  <si>
    <t xml:space="preserve">Risk Flag / Notes</t>
  </si>
  <si>
    <t xml:space="preserve">Phase 1: Pre-Application</t>
  </si>
  <si>
    <t xml:space="preserve">M1–M6</t>
  </si>
  <si>
    <t xml:space="preserve">CEO</t>
  </si>
  <si>
    <t xml:space="preserve">Actuarial solvency memo + service area filing</t>
  </si>
  <si>
    <t xml:space="preserve">COMPLETE</t>
  </si>
  <si>
    <t xml:space="preserve">None — cleared</t>
  </si>
  <si>
    <t xml:space="preserve">Phase 2: CMS Application Submission</t>
  </si>
  <si>
    <t xml:space="preserve">M7</t>
  </si>
  <si>
    <t xml:space="preserve">CEO + Compliance Counsel</t>
  </si>
  <si>
    <t xml:space="preserve">Full bid submission package</t>
  </si>
  <si>
    <t xml:space="preserve">Phase 3: CMS Review Window</t>
  </si>
  <si>
    <t xml:space="preserve">M8–M18</t>
  </si>
  <si>
    <t xml:space="preserve">CMS Regional Office</t>
  </si>
  <si>
    <t xml:space="preserve">Approval notice issued</t>
  </si>
  <si>
    <t xml:space="preserve">Phase 4: CDOI Licensure (parallel)</t>
  </si>
  <si>
    <t xml:space="preserve">M3–M12</t>
  </si>
  <si>
    <t xml:space="preserve">CEO + Colorado Counsel</t>
  </si>
  <si>
    <t xml:space="preserve">Certificate of Authority issued</t>
  </si>
  <si>
    <t xml:space="preserve">Phase 5: Operational Launch</t>
  </si>
  <si>
    <t xml:space="preserve">M19</t>
  </si>
  <si>
    <t xml:space="preserve">Full Founding Team</t>
  </si>
  <si>
    <t xml:space="preserve">First enrollment period open</t>
  </si>
  <si>
    <t xml:space="preserve">BLOCKED</t>
  </si>
  <si>
    <t xml:space="preserve">REAL BLOCKER — Vendor network readiness. CMS requires documented first-tier and downstream entity (FDR) agreements before member-facing operations begin. Morgan County vendor pool contracts are unsigned and unvalidated. No launch until FDR agreements are executed and filed.</t>
  </si>
  <si>
    <t xml:space="preserve">EVIDENCE LEDGER — CLAIMS BEHIND THIS PLAN</t>
  </si>
  <si>
    <t xml:space="preserve">Claim</t>
  </si>
  <si>
    <t xml:space="preserve">Type</t>
  </si>
  <si>
    <t xml:space="preserve">Confidence</t>
  </si>
  <si>
    <t xml:space="preserve">Risk</t>
  </si>
  <si>
    <t xml:space="preserve">Source</t>
  </si>
  <si>
    <t xml:space="preserve">CMS requires documented FDR agreements before operational launch</t>
  </si>
  <si>
    <t xml:space="preserve">factual</t>
  </si>
  <si>
    <t xml:space="preserve">CMS regulatory pattern</t>
  </si>
  <si>
    <t xml:space="preserve">ASSUMPTIONS THIS PLAN RESTS ON</t>
  </si>
  <si>
    <t xml:space="preserve">• Phases 1–4 are treated as complete for mockup purposes.</t>
  </si>
  <si>
    <t xml:space="preserve">• Vendor network readiness is the sole real-world blocker remaining at Phase 5.</t>
  </si>
  <si>
    <t xml:space="preserve">• The Month 19 operational launch target is confirmed acceptable to the founding team.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</si>
</sst>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4181C"/>
      <name val="Arial"/>
      <family val="0"/>
      <charset val="1"/>
    </font>
    <font>
      <i val="true"/>
      <sz val="10"/>
      <color rgb="FF5B6570"/>
      <name val="Arial"/>
      <family val="0"/>
      <charset val="1"/>
    </font>
    <font>
      <b val="true"/>
      <sz val="10"/>
      <color rgb="FF14181C"/>
      <name val="Arial"/>
      <family val="0"/>
      <charset val="1"/>
    </font>
    <font>
      <sz val="10"/>
      <color rgb="FF14181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F6B4D"/>
      <name val="Arial"/>
      <family val="0"/>
      <charset val="1"/>
    </font>
    <font>
      <b val="true"/>
      <sz val="10"/>
      <color rgb="FFA3402B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4181C"/>
        <bgColor rgb="FF000000"/>
      </patternFill>
    </fill>
    <fill>
      <patternFill patternType="solid">
        <fgColor rgb="FFD9EDE3"/>
        <bgColor rgb="FFD9D9D9"/>
      </patternFill>
    </fill>
    <fill>
      <patternFill patternType="solid">
        <fgColor rgb="FFF7DCD6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B4D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DE3"/>
      <rgbColor rgb="FFFFFF99"/>
      <rgbColor rgb="FF99CCFF"/>
      <rgbColor rgb="FFFF99CC"/>
      <rgbColor rgb="FFCC99FF"/>
      <rgbColor rgb="FFF7DCD6"/>
      <rgbColor rgb="FF3366FF"/>
      <rgbColor rgb="FF33CCCC"/>
      <rgbColor rgb="FF99CC00"/>
      <rgbColor rgb="FFFFCC00"/>
      <rgbColor rgb="FFFF9900"/>
      <rgbColor rgb="FFFF6600"/>
      <rgbColor rgb="FF5B6570"/>
      <rgbColor rgb="FF969696"/>
      <rgbColor rgb="FF003366"/>
      <rgbColor rgb="FF339966"/>
      <rgbColor rgb="FF14181C"/>
      <rgbColor rgb="FF333300"/>
      <rgbColor rgb="FFA340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24"/>
    <col collapsed="false" customWidth="true" hidden="false" outlineLevel="0" max="4" min="4" style="0" width="34"/>
    <col collapsed="false" customWidth="true" hidden="false" outlineLevel="0" max="5" min="5" style="0" width="12"/>
    <col collapsed="false" customWidth="true" hidden="false" outlineLevel="0" max="6" min="6" style="0" width="52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4" t="n">
        <f aca="false">COUNTIF(E7:E11,"COMPLETE")</f>
        <v>4</v>
      </c>
      <c r="C4" s="3" t="s">
        <v>3</v>
      </c>
      <c r="D4" s="4" t="n">
        <f aca="false">COUNTA(A7:A11)</f>
        <v>5</v>
      </c>
      <c r="E4" s="3" t="s">
        <v>4</v>
      </c>
      <c r="F4" s="5" t="n">
        <f aca="false">B4/D4</f>
        <v>0.8</v>
      </c>
    </row>
    <row r="6" customFormat="false" ht="21.75" hidden="false" customHeight="true" outlineLevel="0" collapsed="false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</row>
    <row r="7" customFormat="false" ht="33.75" hidden="false" customHeight="true" outlineLevel="0" collapsed="false">
      <c r="A7" s="7" t="s">
        <v>11</v>
      </c>
      <c r="B7" s="7" t="s">
        <v>12</v>
      </c>
      <c r="C7" s="7" t="s">
        <v>13</v>
      </c>
      <c r="D7" s="8" t="s">
        <v>14</v>
      </c>
      <c r="E7" s="9" t="s">
        <v>15</v>
      </c>
      <c r="F7" s="10" t="s">
        <v>16</v>
      </c>
    </row>
    <row r="8" customFormat="false" ht="33.75" hidden="false" customHeight="true" outlineLevel="0" collapsed="false">
      <c r="A8" s="7" t="s">
        <v>17</v>
      </c>
      <c r="B8" s="7" t="s">
        <v>18</v>
      </c>
      <c r="C8" s="7" t="s">
        <v>19</v>
      </c>
      <c r="D8" s="8" t="s">
        <v>20</v>
      </c>
      <c r="E8" s="9" t="s">
        <v>15</v>
      </c>
      <c r="F8" s="10" t="s">
        <v>16</v>
      </c>
    </row>
    <row r="9" customFormat="false" ht="33.75" hidden="false" customHeight="true" outlineLevel="0" collapsed="false">
      <c r="A9" s="7" t="s">
        <v>21</v>
      </c>
      <c r="B9" s="7" t="s">
        <v>22</v>
      </c>
      <c r="C9" s="7" t="s">
        <v>23</v>
      </c>
      <c r="D9" s="8" t="s">
        <v>24</v>
      </c>
      <c r="E9" s="9" t="s">
        <v>15</v>
      </c>
      <c r="F9" s="10" t="s">
        <v>16</v>
      </c>
    </row>
    <row r="10" customFormat="false" ht="33.75" hidden="false" customHeight="true" outlineLevel="0" collapsed="false">
      <c r="A10" s="7" t="s">
        <v>25</v>
      </c>
      <c r="B10" s="7" t="s">
        <v>26</v>
      </c>
      <c r="C10" s="7" t="s">
        <v>27</v>
      </c>
      <c r="D10" s="8" t="s">
        <v>28</v>
      </c>
      <c r="E10" s="9" t="s">
        <v>15</v>
      </c>
      <c r="F10" s="10" t="s">
        <v>16</v>
      </c>
    </row>
    <row r="11" customFormat="false" ht="78" hidden="false" customHeight="true" outlineLevel="0" collapsed="false">
      <c r="A11" s="7" t="s">
        <v>29</v>
      </c>
      <c r="B11" s="7" t="s">
        <v>30</v>
      </c>
      <c r="C11" s="7" t="s">
        <v>31</v>
      </c>
      <c r="D11" s="8" t="s">
        <v>32</v>
      </c>
      <c r="E11" s="11" t="s">
        <v>33</v>
      </c>
      <c r="F11" s="12" t="s">
        <v>34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4"/>
    <col collapsed="false" customWidth="true" hidden="false" outlineLevel="0" max="4" min="4" style="0" width="12"/>
    <col collapsed="false" customWidth="true" hidden="false" outlineLevel="0" max="5" min="5" style="0" width="30"/>
  </cols>
  <sheetData>
    <row r="1" customFormat="false" ht="19.7" hidden="false" customHeight="false" outlineLevel="0" collapsed="false">
      <c r="A1" s="1" t="s">
        <v>35</v>
      </c>
      <c r="B1" s="1"/>
      <c r="C1" s="1"/>
      <c r="D1" s="1"/>
      <c r="E1" s="1"/>
    </row>
    <row r="3" customFormat="false" ht="19.5" hidden="false" customHeight="true" outlineLevel="0" collapsed="false">
      <c r="A3" s="13" t="s">
        <v>36</v>
      </c>
      <c r="B3" s="13" t="s">
        <v>37</v>
      </c>
      <c r="C3" s="13" t="s">
        <v>38</v>
      </c>
      <c r="D3" s="13" t="s">
        <v>39</v>
      </c>
      <c r="E3" s="13" t="s">
        <v>40</v>
      </c>
    </row>
    <row r="4" customFormat="false" ht="30" hidden="false" customHeight="true" outlineLevel="0" collapsed="false">
      <c r="A4" s="8" t="s">
        <v>41</v>
      </c>
      <c r="B4" s="7" t="s">
        <v>42</v>
      </c>
      <c r="C4" s="14" t="n">
        <v>0.85</v>
      </c>
      <c r="D4" s="14" t="n">
        <v>0.4</v>
      </c>
      <c r="E4" s="7" t="s">
        <v>43</v>
      </c>
    </row>
    <row r="6" customFormat="false" ht="19.7" hidden="false" customHeight="false" outlineLevel="0" collapsed="false">
      <c r="A6" s="1" t="s">
        <v>44</v>
      </c>
      <c r="B6" s="1"/>
      <c r="C6" s="1"/>
      <c r="D6" s="1"/>
      <c r="E6" s="1"/>
    </row>
    <row r="7" customFormat="false" ht="18" hidden="false" customHeight="true" outlineLevel="0" collapsed="false">
      <c r="A7" s="15" t="s">
        <v>45</v>
      </c>
      <c r="B7" s="15"/>
      <c r="C7" s="15"/>
      <c r="D7" s="15"/>
      <c r="E7" s="15"/>
    </row>
    <row r="8" customFormat="false" ht="18" hidden="false" customHeight="true" outlineLevel="0" collapsed="false">
      <c r="A8" s="15" t="s">
        <v>46</v>
      </c>
      <c r="B8" s="15"/>
      <c r="C8" s="15"/>
      <c r="D8" s="15"/>
      <c r="E8" s="15"/>
    </row>
    <row r="9" customFormat="false" ht="18" hidden="false" customHeight="true" outlineLevel="0" collapsed="false">
      <c r="A9" s="15" t="s">
        <v>47</v>
      </c>
      <c r="B9" s="15"/>
      <c r="C9" s="15"/>
      <c r="D9" s="15"/>
      <c r="E9" s="15"/>
    </row>
  </sheetData>
  <mergeCells count="5">
    <mergeCell ref="A1:E1"/>
    <mergeCell ref="A6:E6"/>
    <mergeCell ref="A7:E7"/>
    <mergeCell ref="A8:E8"/>
    <mergeCell ref="A9:E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2026-08-05T11:04:44Z</dcterms:created>
  <dc:creator>openpyxl</dc:creator>
  <dc:description/>
  <dc:language>en-US</dc:language>
  <cp:lastModifiedBy/>
  <dcterms:modified xsi:type="dcterms:W3CDTF">2026-08-05T11:04:44Z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